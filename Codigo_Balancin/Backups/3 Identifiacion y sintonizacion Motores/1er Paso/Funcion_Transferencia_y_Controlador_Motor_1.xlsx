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ueva carpeta (3)\Mecatrónica\Inteligente 2\Codigo_Balancin\Backups\3 Identifiacion Motores\1er Paso\"/>
    </mc:Choice>
  </mc:AlternateContent>
  <xr:revisionPtr revIDLastSave="0" documentId="13_ncr:1_{C6F2714D-5982-4BFA-B41C-CEC405598545}" xr6:coauthVersionLast="47" xr6:coauthVersionMax="47" xr10:uidLastSave="{00000000-0000-0000-0000-000000000000}"/>
  <bookViews>
    <workbookView xWindow="11424" yWindow="0" windowWidth="11712" windowHeight="12336" xr2:uid="{2CD213E5-6434-48C6-999B-F205C72B70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F6" i="1" s="1"/>
  <c r="E8" i="1" s="1"/>
  <c r="B10" i="1"/>
  <c r="D6" i="1" s="1"/>
  <c r="J2" i="1"/>
  <c r="B5" i="1" s="1"/>
  <c r="E6" i="1" s="1"/>
  <c r="J1" i="1"/>
  <c r="B6" i="1" l="1"/>
  <c r="B7" i="1"/>
  <c r="D8" i="1"/>
  <c r="F8" i="1" s="1"/>
</calcChain>
</file>

<file path=xl/sharedStrings.xml><?xml version="1.0" encoding="utf-8"?>
<sst xmlns="http://schemas.openxmlformats.org/spreadsheetml/2006/main" count="26" uniqueCount="26">
  <si>
    <t>Diferencia de Salida</t>
  </si>
  <si>
    <t>Diferencia de Entrada</t>
  </si>
  <si>
    <t>1er Escalón</t>
  </si>
  <si>
    <t>2do Escalón</t>
  </si>
  <si>
    <t>1er promedio de salida</t>
  </si>
  <si>
    <t>2do promedio de salida</t>
  </si>
  <si>
    <t>Variable</t>
  </si>
  <si>
    <t>K</t>
  </si>
  <si>
    <t>P1</t>
  </si>
  <si>
    <t>P2</t>
  </si>
  <si>
    <t>T1</t>
  </si>
  <si>
    <t>T2</t>
  </si>
  <si>
    <t>TAO</t>
  </si>
  <si>
    <t>TETA</t>
  </si>
  <si>
    <t>A</t>
  </si>
  <si>
    <t>B</t>
  </si>
  <si>
    <t>C</t>
  </si>
  <si>
    <t>D</t>
  </si>
  <si>
    <t>SMITH</t>
  </si>
  <si>
    <t>Controlador Ziegler &amp; Nichols</t>
  </si>
  <si>
    <t>k</t>
  </si>
  <si>
    <t>Ѳ</t>
  </si>
  <si>
    <t>τ</t>
  </si>
  <si>
    <t>Kp</t>
  </si>
  <si>
    <t>Ti</t>
  </si>
  <si>
    <t>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</si>
</sst>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2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1528-3B19-48B3-85A3-BC5008562D69}">
  <dimension ref="A1:J16"/>
  <sheetViews>
    <sheetView tabSelected="1" workbookViewId="0">
      <selection activeCell="F12" sqref="F12"/>
    </sheetView>
  </sheetViews>
  <sheetFormatPr baseColWidth="10" defaultRowHeight="14.4" x14ac:dyDescent="0.3"/>
  <sheetData>
    <row r="1" spans="1:10" x14ac:dyDescent="0.3">
      <c r="A1" s="5" t="s">
        <v>2</v>
      </c>
      <c r="B1" s="5">
        <v>3.6</v>
      </c>
      <c r="D1" s="6" t="s">
        <v>4</v>
      </c>
      <c r="E1" s="6"/>
      <c r="F1" s="7">
        <v>35.240417700000002</v>
      </c>
      <c r="H1" s="8" t="s">
        <v>1</v>
      </c>
      <c r="I1" s="8"/>
      <c r="J1" s="9">
        <f>B2-B1</f>
        <v>2.9999999999999996</v>
      </c>
    </row>
    <row r="2" spans="1:10" x14ac:dyDescent="0.3">
      <c r="A2" s="5" t="s">
        <v>3</v>
      </c>
      <c r="B2" s="5">
        <v>6.6</v>
      </c>
      <c r="D2" s="6" t="s">
        <v>5</v>
      </c>
      <c r="E2" s="6"/>
      <c r="F2" s="7">
        <v>66.135418599999994</v>
      </c>
      <c r="H2" s="8" t="s">
        <v>0</v>
      </c>
      <c r="I2" s="8"/>
      <c r="J2" s="9">
        <f>F2-F1</f>
        <v>30.895000899999992</v>
      </c>
    </row>
    <row r="4" spans="1:10" x14ac:dyDescent="0.3">
      <c r="A4" s="3" t="s">
        <v>6</v>
      </c>
      <c r="B4" s="4" t="s">
        <v>18</v>
      </c>
      <c r="D4" s="10" t="s">
        <v>19</v>
      </c>
      <c r="E4" s="10"/>
      <c r="F4" s="10"/>
    </row>
    <row r="5" spans="1:10" x14ac:dyDescent="0.3">
      <c r="A5" s="3" t="s">
        <v>7</v>
      </c>
      <c r="B5" s="2">
        <f>J2/J1</f>
        <v>10.298333633333332</v>
      </c>
      <c r="D5" s="11" t="s">
        <v>22</v>
      </c>
      <c r="E5" s="12" t="s">
        <v>20</v>
      </c>
      <c r="F5" s="12" t="s">
        <v>21</v>
      </c>
    </row>
    <row r="6" spans="1:10" x14ac:dyDescent="0.3">
      <c r="A6" s="3" t="s">
        <v>8</v>
      </c>
      <c r="B6" s="2">
        <f>(J2*28.3%)+F1</f>
        <v>43.9837029547</v>
      </c>
      <c r="D6" s="2">
        <f>B10</f>
        <v>3.2000977259999994E-2</v>
      </c>
      <c r="E6" s="2">
        <f>B5</f>
        <v>10.298333633333332</v>
      </c>
      <c r="F6" s="2">
        <f>B11</f>
        <v>2.0868440260000003E-2</v>
      </c>
    </row>
    <row r="7" spans="1:10" x14ac:dyDescent="0.3">
      <c r="A7" s="3" t="s">
        <v>9</v>
      </c>
      <c r="B7" s="2">
        <f>(J2*63.2%)+F1</f>
        <v>54.766058268799995</v>
      </c>
      <c r="D7" s="13" t="s">
        <v>23</v>
      </c>
      <c r="E7" s="13" t="s">
        <v>24</v>
      </c>
      <c r="F7" s="13" t="s">
        <v>25</v>
      </c>
    </row>
    <row r="8" spans="1:10" x14ac:dyDescent="0.3">
      <c r="A8" s="3" t="s">
        <v>10</v>
      </c>
      <c r="B8" s="2">
        <v>3.1535432680000003E-2</v>
      </c>
      <c r="D8" s="2">
        <f>(0.9/E6)*(D6/F6)</f>
        <v>0.13401357807633965</v>
      </c>
      <c r="E8" s="2">
        <f>3.33*F6</f>
        <v>6.949190606580001E-2</v>
      </c>
      <c r="F8" s="2">
        <f>D8/E8</f>
        <v>1.9284775114593318</v>
      </c>
    </row>
    <row r="9" spans="1:10" x14ac:dyDescent="0.3">
      <c r="A9" s="3" t="s">
        <v>11</v>
      </c>
      <c r="B9" s="2">
        <v>5.2869417520000003E-2</v>
      </c>
    </row>
    <row r="10" spans="1:10" x14ac:dyDescent="0.3">
      <c r="A10" s="3" t="s">
        <v>12</v>
      </c>
      <c r="B10" s="2">
        <f>(B13*B8)+(B14*B9)</f>
        <v>3.2000977259999994E-2</v>
      </c>
    </row>
    <row r="11" spans="1:10" x14ac:dyDescent="0.3">
      <c r="A11" s="3" t="s">
        <v>13</v>
      </c>
      <c r="B11" s="2">
        <f>(B15*B8)+(B16*B9)</f>
        <v>2.0868440260000003E-2</v>
      </c>
    </row>
    <row r="13" spans="1:10" x14ac:dyDescent="0.3">
      <c r="A13" s="4" t="s">
        <v>14</v>
      </c>
      <c r="B13" s="1">
        <v>-1.5</v>
      </c>
    </row>
    <row r="14" spans="1:10" x14ac:dyDescent="0.3">
      <c r="A14" s="4" t="s">
        <v>15</v>
      </c>
      <c r="B14" s="1">
        <v>1.5</v>
      </c>
    </row>
    <row r="15" spans="1:10" x14ac:dyDescent="0.3">
      <c r="A15" s="4" t="s">
        <v>16</v>
      </c>
      <c r="B15" s="1">
        <v>1.5</v>
      </c>
    </row>
    <row r="16" spans="1:10" x14ac:dyDescent="0.3">
      <c r="A16" s="4" t="s">
        <v>17</v>
      </c>
      <c r="B16" s="1">
        <v>-0.5</v>
      </c>
    </row>
  </sheetData>
  <mergeCells count="5">
    <mergeCell ref="H1:I1"/>
    <mergeCell ref="H2:I2"/>
    <mergeCell ref="D1:E1"/>
    <mergeCell ref="D2:E2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Nieto</dc:creator>
  <cp:lastModifiedBy>Andres Nieto</cp:lastModifiedBy>
  <dcterms:created xsi:type="dcterms:W3CDTF">2026-10-20T00:46:38Z</dcterms:created>
  <dcterms:modified xsi:type="dcterms:W3CDTF">2026-10-20T01:57:49Z</dcterms:modified>
</cp:coreProperties>
</file>