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Identifiacion_motores\"/>
    </mc:Choice>
  </mc:AlternateContent>
  <xr:revisionPtr revIDLastSave="0" documentId="13_ncr:1_{56E9D7E8-7AC1-4B86-97AD-F708200FC490}" xr6:coauthVersionLast="47" xr6:coauthVersionMax="47" xr10:uidLastSave="{00000000-0000-0000-0000-000000000000}"/>
  <bookViews>
    <workbookView xWindow="-108" yWindow="-108" windowWidth="23256" windowHeight="12456" xr2:uid="{23D51E15-9427-4C45-82B3-D78593DD2C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D7" i="1" s="1"/>
  <c r="F6" i="1" l="1"/>
  <c r="B6" i="1"/>
  <c r="F7" i="1"/>
  <c r="G6" i="1"/>
  <c r="C7" i="1"/>
  <c r="G7" i="1"/>
  <c r="E6" i="1"/>
  <c r="C6" i="1"/>
  <c r="D6" i="1"/>
  <c r="E7" i="1"/>
  <c r="B7" i="1"/>
  <c r="C10" i="1"/>
  <c r="G11" i="1"/>
  <c r="F11" i="1"/>
  <c r="E11" i="1"/>
  <c r="D11" i="1"/>
  <c r="K6" i="1" s="1"/>
  <c r="C11" i="1"/>
  <c r="B11" i="1"/>
  <c r="B5" i="1" l="1"/>
  <c r="B10" i="1"/>
  <c r="D10" i="1"/>
  <c r="I6" i="1" s="1"/>
  <c r="E10" i="1"/>
  <c r="F10" i="1"/>
  <c r="G10" i="1"/>
  <c r="G5" i="1"/>
  <c r="F5" i="1"/>
  <c r="E5" i="1"/>
  <c r="D5" i="1"/>
  <c r="C5" i="1"/>
  <c r="J6" i="1" s="1"/>
  <c r="L9" i="1" l="1"/>
  <c r="N10" i="1"/>
  <c r="L10" i="1"/>
  <c r="J9" i="1"/>
  <c r="J8" i="1"/>
  <c r="J10" i="1"/>
  <c r="M10" i="1" l="1"/>
  <c r="K10" i="1"/>
  <c r="M8" i="1"/>
  <c r="K9" i="1"/>
  <c r="M9" i="1"/>
</calcChain>
</file>

<file path=xl/sharedStrings.xml><?xml version="1.0" encoding="utf-8"?>
<sst xmlns="http://schemas.openxmlformats.org/spreadsheetml/2006/main" count="49" uniqueCount="42">
  <si>
    <t>VARIABLES</t>
  </si>
  <si>
    <t>ALFARO</t>
  </si>
  <si>
    <t>BROIDA</t>
  </si>
  <si>
    <t>SMITH</t>
  </si>
  <si>
    <t>CHEN Y YAN</t>
  </si>
  <si>
    <t>HO ET AL</t>
  </si>
  <si>
    <t>VITEKOVA</t>
  </si>
  <si>
    <t>Dy</t>
  </si>
  <si>
    <t>Du</t>
  </si>
  <si>
    <t>K</t>
  </si>
  <si>
    <t>P1</t>
  </si>
  <si>
    <t>P2</t>
  </si>
  <si>
    <t>T1</t>
  </si>
  <si>
    <t>T2</t>
  </si>
  <si>
    <t>TAO</t>
  </si>
  <si>
    <t>TETA</t>
  </si>
  <si>
    <t>A</t>
  </si>
  <si>
    <t>B</t>
  </si>
  <si>
    <t>C</t>
  </si>
  <si>
    <t>D</t>
  </si>
  <si>
    <t>Tipo de Controlador</t>
  </si>
  <si>
    <t>P</t>
  </si>
  <si>
    <t>PI</t>
  </si>
  <si>
    <t>PID</t>
  </si>
  <si>
    <t>Kp</t>
  </si>
  <si>
    <t>Ti</t>
  </si>
  <si>
    <t>Td</t>
  </si>
  <si>
    <t>-</t>
  </si>
  <si>
    <t>Ki=Kp/Ti</t>
  </si>
  <si>
    <t>Kd=Kp*Td</t>
  </si>
  <si>
    <t>t</t>
  </si>
  <si>
    <t>k</t>
  </si>
  <si>
    <t>Ѳ</t>
  </si>
  <si>
    <t>Ki</t>
  </si>
  <si>
    <t>Kd</t>
  </si>
  <si>
    <t>Pi</t>
  </si>
  <si>
    <t>Pid</t>
  </si>
  <si>
    <t>Ziegler &amp; Nichols: Smith</t>
  </si>
  <si>
    <t>Escalón 1</t>
  </si>
  <si>
    <t>Escalón 2</t>
  </si>
  <si>
    <t>Salida prom 1</t>
  </si>
  <si>
    <t>Salida prom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</si>
</sst>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3" fillId="9" borderId="1" xfId="0" applyFont="1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76C1B0-7D60-4749-8658-D41A8B09B749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240586</xdr:colOff>
      <xdr:row>20</xdr:row>
      <xdr:rowOff>17979</xdr:rowOff>
    </xdr:from>
    <xdr:ext cx="341616" cy="3053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F3DFD2F-F699-DA66-42AE-15C70C79C873}"/>
                </a:ext>
              </a:extLst>
            </xdr:cNvPr>
            <xdr:cNvSpPr txBox="1"/>
          </xdr:nvSpPr>
          <xdr:spPr>
            <a:xfrm>
              <a:off x="1387867" y="3613934"/>
              <a:ext cx="341616" cy="305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CO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s-CO" sz="140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𝜏</m:t>
                      </m:r>
                    </m:num>
                    <m:den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den>
                  </m:f>
                </m:oMath>
              </a14:m>
              <a:r>
                <a:rPr lang="es-CO" sz="1400"/>
                <a:t>)</a:t>
              </a: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F3DFD2F-F699-DA66-42AE-15C70C79C873}"/>
                </a:ext>
              </a:extLst>
            </xdr:cNvPr>
            <xdr:cNvSpPr txBox="1"/>
          </xdr:nvSpPr>
          <xdr:spPr>
            <a:xfrm>
              <a:off x="1387867" y="3613934"/>
              <a:ext cx="341616" cy="305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400" b="0" i="0">
                  <a:latin typeface="Cambria Math" panose="02040503050406030204" pitchFamily="18" charset="0"/>
                </a:rPr>
                <a:t>1/𝐾</a:t>
              </a:r>
              <a:r>
                <a:rPr lang="es-CO" sz="1400"/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𝜏/𝜃</a:t>
              </a:r>
              <a:r>
                <a:rPr lang="es-CO" sz="1400"/>
                <a:t>)</a:t>
              </a:r>
            </a:p>
          </xdr:txBody>
        </xdr:sp>
      </mc:Fallback>
    </mc:AlternateContent>
    <xdr:clientData/>
  </xdr:oneCellAnchor>
  <xdr:oneCellAnchor>
    <xdr:from>
      <xdr:col>1</xdr:col>
      <xdr:colOff>205482</xdr:colOff>
      <xdr:row>22</xdr:row>
      <xdr:rowOff>-1</xdr:rowOff>
    </xdr:from>
    <xdr:ext cx="453776" cy="3057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5951FFA-08D2-4C02-AFCA-51C3B6F1188E}"/>
                </a:ext>
              </a:extLst>
            </xdr:cNvPr>
            <xdr:cNvSpPr txBox="1"/>
          </xdr:nvSpPr>
          <xdr:spPr>
            <a:xfrm>
              <a:off x="1352763" y="3955550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b="0" i="1">
                          <a:latin typeface="Cambria Math" panose="02040503050406030204" pitchFamily="18" charset="0"/>
                        </a:rPr>
                        <m:t>0,9</m:t>
                      </m:r>
                    </m:num>
                    <m:den>
                      <m:r>
                        <a:rPr lang="es-CO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s-CO" sz="140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𝜏</m:t>
                      </m:r>
                    </m:num>
                    <m:den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den>
                  </m:f>
                </m:oMath>
              </a14:m>
              <a:r>
                <a:rPr lang="es-CO" sz="1400"/>
                <a:t>)</a:t>
              </a: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5951FFA-08D2-4C02-AFCA-51C3B6F1188E}"/>
                </a:ext>
              </a:extLst>
            </xdr:cNvPr>
            <xdr:cNvSpPr txBox="1"/>
          </xdr:nvSpPr>
          <xdr:spPr>
            <a:xfrm>
              <a:off x="1352763" y="3955550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400" b="0" i="0">
                  <a:latin typeface="Cambria Math" panose="02040503050406030204" pitchFamily="18" charset="0"/>
                </a:rPr>
                <a:t>0,9/𝐾</a:t>
              </a:r>
              <a:r>
                <a:rPr lang="es-CO" sz="1400"/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𝜏/𝜃</a:t>
              </a:r>
              <a:r>
                <a:rPr lang="es-CO" sz="1400"/>
                <a:t>)</a:t>
              </a:r>
            </a:p>
          </xdr:txBody>
        </xdr:sp>
      </mc:Fallback>
    </mc:AlternateContent>
    <xdr:clientData/>
  </xdr:oneCellAnchor>
  <xdr:oneCellAnchor>
    <xdr:from>
      <xdr:col>2</xdr:col>
      <xdr:colOff>154968</xdr:colOff>
      <xdr:row>22</xdr:row>
      <xdr:rowOff>95036</xdr:rowOff>
    </xdr:from>
    <xdr:ext cx="50385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CD9FA1A-1A66-1991-1565-1E4D0367D017}"/>
                </a:ext>
              </a:extLst>
            </xdr:cNvPr>
            <xdr:cNvSpPr txBox="1"/>
          </xdr:nvSpPr>
          <xdr:spPr>
            <a:xfrm>
              <a:off x="2098496" y="4050587"/>
              <a:ext cx="50385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3,33∗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CD9FA1A-1A66-1991-1565-1E4D0367D017}"/>
                </a:ext>
              </a:extLst>
            </xdr:cNvPr>
            <xdr:cNvSpPr txBox="1"/>
          </xdr:nvSpPr>
          <xdr:spPr>
            <a:xfrm>
              <a:off x="2098496" y="4050587"/>
              <a:ext cx="50385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3,33∗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213188</xdr:colOff>
      <xdr:row>24</xdr:row>
      <xdr:rowOff>93324</xdr:rowOff>
    </xdr:from>
    <xdr:ext cx="31874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E2FE688-579B-4C1A-9CE1-19D86FE26532}"/>
                </a:ext>
              </a:extLst>
            </xdr:cNvPr>
            <xdr:cNvSpPr txBox="1"/>
          </xdr:nvSpPr>
          <xdr:spPr>
            <a:xfrm>
              <a:off x="2156716" y="4408470"/>
              <a:ext cx="3187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2∗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E2FE688-579B-4C1A-9CE1-19D86FE26532}"/>
                </a:ext>
              </a:extLst>
            </xdr:cNvPr>
            <xdr:cNvSpPr txBox="1"/>
          </xdr:nvSpPr>
          <xdr:spPr>
            <a:xfrm>
              <a:off x="2156716" y="4408470"/>
              <a:ext cx="3187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2∗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196921</xdr:colOff>
      <xdr:row>24</xdr:row>
      <xdr:rowOff>102741</xdr:rowOff>
    </xdr:from>
    <xdr:ext cx="42575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7A224FA-8A89-4562-8927-058A6ACA924B}"/>
                </a:ext>
              </a:extLst>
            </xdr:cNvPr>
            <xdr:cNvSpPr txBox="1"/>
          </xdr:nvSpPr>
          <xdr:spPr>
            <a:xfrm>
              <a:off x="2936696" y="4417887"/>
              <a:ext cx="4257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0,5∗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7A224FA-8A89-4562-8927-058A6ACA924B}"/>
                </a:ext>
              </a:extLst>
            </xdr:cNvPr>
            <xdr:cNvSpPr txBox="1"/>
          </xdr:nvSpPr>
          <xdr:spPr>
            <a:xfrm>
              <a:off x="2936696" y="4417887"/>
              <a:ext cx="4257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0,5∗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212332</xdr:colOff>
      <xdr:row>24</xdr:row>
      <xdr:rowOff>23973</xdr:rowOff>
    </xdr:from>
    <xdr:ext cx="453776" cy="3057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FC82477-D172-415A-8DFF-5454735F7C19}"/>
                </a:ext>
              </a:extLst>
            </xdr:cNvPr>
            <xdr:cNvSpPr txBox="1"/>
          </xdr:nvSpPr>
          <xdr:spPr>
            <a:xfrm>
              <a:off x="1359613" y="4339119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b="0" i="1">
                          <a:latin typeface="Cambria Math" panose="02040503050406030204" pitchFamily="18" charset="0"/>
                        </a:rPr>
                        <m:t>1,2</m:t>
                      </m:r>
                    </m:num>
                    <m:den>
                      <m:r>
                        <a:rPr lang="es-CO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s-CO" sz="140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𝜏</m:t>
                      </m:r>
                    </m:num>
                    <m:den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den>
                  </m:f>
                </m:oMath>
              </a14:m>
              <a:r>
                <a:rPr lang="es-CO" sz="1400"/>
                <a:t>)</a:t>
              </a: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FC82477-D172-415A-8DFF-5454735F7C19}"/>
                </a:ext>
              </a:extLst>
            </xdr:cNvPr>
            <xdr:cNvSpPr txBox="1"/>
          </xdr:nvSpPr>
          <xdr:spPr>
            <a:xfrm>
              <a:off x="1359613" y="4339119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400" b="0" i="0">
                  <a:latin typeface="Cambria Math" panose="02040503050406030204" pitchFamily="18" charset="0"/>
                </a:rPr>
                <a:t>1,2/𝐾</a:t>
              </a:r>
              <a:r>
                <a:rPr lang="es-CO" sz="1400"/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𝜏/𝜃</a:t>
              </a:r>
              <a:r>
                <a:rPr lang="es-CO" sz="1400"/>
                <a:t>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DE76-2AFC-402D-918D-BD69A711CFF7}">
  <dimension ref="A1:U35"/>
  <sheetViews>
    <sheetView tabSelected="1" zoomScale="115" zoomScaleNormal="115" workbookViewId="0">
      <selection activeCell="J6" sqref="J6"/>
    </sheetView>
  </sheetViews>
  <sheetFormatPr baseColWidth="10" defaultRowHeight="14.4" x14ac:dyDescent="0.3"/>
  <cols>
    <col min="1" max="1" width="19.109375" customWidth="1"/>
    <col min="2" max="2" width="11.5546875" customWidth="1"/>
    <col min="9" max="9" width="20.109375" bestFit="1" customWidth="1"/>
  </cols>
  <sheetData>
    <row r="1" spans="1:21" x14ac:dyDescent="0.3">
      <c r="A1" s="13" t="s">
        <v>8</v>
      </c>
      <c r="B1" s="16">
        <f>E2-D2</f>
        <v>60</v>
      </c>
      <c r="D1" s="32" t="s">
        <v>38</v>
      </c>
      <c r="E1" s="32" t="s">
        <v>39</v>
      </c>
      <c r="F1" s="32" t="s">
        <v>40</v>
      </c>
      <c r="G1" s="32" t="s">
        <v>41</v>
      </c>
    </row>
    <row r="2" spans="1:21" x14ac:dyDescent="0.3">
      <c r="A2" s="13" t="s">
        <v>7</v>
      </c>
      <c r="B2" s="13">
        <f>G2-F2</f>
        <v>15.659999999999997</v>
      </c>
      <c r="D2" s="33">
        <v>130</v>
      </c>
      <c r="E2" s="33">
        <v>190</v>
      </c>
      <c r="F2" s="33">
        <v>32.25</v>
      </c>
      <c r="G2" s="33">
        <v>47.91</v>
      </c>
    </row>
    <row r="4" spans="1:2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I4" s="27" t="s">
        <v>37</v>
      </c>
      <c r="J4" s="27"/>
      <c r="K4" s="27"/>
      <c r="L4" s="27"/>
      <c r="M4" s="27"/>
      <c r="N4" s="27"/>
      <c r="P4" s="23"/>
      <c r="Q4" s="23"/>
      <c r="R4" s="23"/>
      <c r="S4" s="23"/>
      <c r="T4" s="23"/>
      <c r="U4" s="23"/>
    </row>
    <row r="5" spans="1:21" x14ac:dyDescent="0.3">
      <c r="A5" s="2" t="s">
        <v>9</v>
      </c>
      <c r="B5" s="5">
        <f>(B2/B1)</f>
        <v>0.26099999999999995</v>
      </c>
      <c r="C5" s="3">
        <f>(B2/B1)</f>
        <v>0.26099999999999995</v>
      </c>
      <c r="D5" s="7">
        <f>(B2/B1)</f>
        <v>0.26099999999999995</v>
      </c>
      <c r="E5" s="14">
        <f>(B2/B1)</f>
        <v>0.26099999999999995</v>
      </c>
      <c r="F5" s="17">
        <f>(B2/B1)</f>
        <v>0.26099999999999995</v>
      </c>
      <c r="G5" s="19">
        <f>(B2/B1)</f>
        <v>0.26099999999999995</v>
      </c>
      <c r="I5" s="10" t="s">
        <v>30</v>
      </c>
      <c r="J5" s="10" t="s">
        <v>31</v>
      </c>
      <c r="K5" s="11" t="s">
        <v>32</v>
      </c>
      <c r="L5" s="27"/>
      <c r="M5" s="27"/>
      <c r="N5" s="27"/>
      <c r="P5" s="21"/>
      <c r="Q5" s="21"/>
      <c r="R5" s="22"/>
      <c r="S5" s="23"/>
      <c r="T5" s="23"/>
      <c r="U5" s="23"/>
    </row>
    <row r="6" spans="1:21" x14ac:dyDescent="0.3">
      <c r="A6" s="2" t="s">
        <v>10</v>
      </c>
      <c r="B6" s="5">
        <f>(B2*25%)+F2</f>
        <v>36.164999999999999</v>
      </c>
      <c r="C6" s="3">
        <f>(B2*28%)+F2</f>
        <v>36.634799999999998</v>
      </c>
      <c r="D6" s="7">
        <f>(B2*28.3%)+F2</f>
        <v>36.681780000000003</v>
      </c>
      <c r="E6" s="14">
        <f>(B2*33%)+F2</f>
        <v>37.4178</v>
      </c>
      <c r="F6" s="17">
        <f>(B2*35%)+F2</f>
        <v>37.730999999999995</v>
      </c>
      <c r="G6" s="19">
        <f>(B2*33%)+F2</f>
        <v>37.4178</v>
      </c>
      <c r="I6" s="10">
        <f>D10</f>
        <v>8.7436981815000009E-2</v>
      </c>
      <c r="J6" s="10">
        <f>C5</f>
        <v>0.26099999999999995</v>
      </c>
      <c r="K6" s="11">
        <f>D11</f>
        <v>3.0425915384999995E-2</v>
      </c>
      <c r="L6" s="10"/>
      <c r="M6" s="10"/>
      <c r="N6" s="10"/>
      <c r="P6" s="21"/>
      <c r="Q6" s="21"/>
      <c r="R6" s="22"/>
      <c r="S6" s="21"/>
      <c r="T6" s="21"/>
      <c r="U6" s="21"/>
    </row>
    <row r="7" spans="1:21" x14ac:dyDescent="0.3">
      <c r="A7" s="2" t="s">
        <v>11</v>
      </c>
      <c r="B7" s="5">
        <f>(B2*75%)+F2</f>
        <v>43.994999999999997</v>
      </c>
      <c r="C7" s="3">
        <f>(B2*40%)+F2</f>
        <v>38.513999999999996</v>
      </c>
      <c r="D7" s="7">
        <f>(B2*63.2%)+F2</f>
        <v>42.147120000000001</v>
      </c>
      <c r="E7" s="14">
        <f>(B2*67%)+F2</f>
        <v>42.742199999999997</v>
      </c>
      <c r="F7" s="17">
        <f>(B2*85%)+F2</f>
        <v>45.560999999999993</v>
      </c>
      <c r="G7" s="19">
        <f>(B2*70%)+F2</f>
        <v>43.211999999999996</v>
      </c>
      <c r="I7" s="12"/>
      <c r="J7" s="12" t="s">
        <v>24</v>
      </c>
      <c r="K7" s="12" t="s">
        <v>33</v>
      </c>
      <c r="L7" s="12" t="s">
        <v>25</v>
      </c>
      <c r="M7" s="12" t="s">
        <v>34</v>
      </c>
      <c r="N7" s="12" t="s">
        <v>26</v>
      </c>
    </row>
    <row r="8" spans="1:21" x14ac:dyDescent="0.3">
      <c r="A8" s="2" t="s">
        <v>12</v>
      </c>
      <c r="B8" s="5"/>
      <c r="C8" s="4"/>
      <c r="D8" s="8">
        <v>5.957157599E-2</v>
      </c>
      <c r="E8" s="15"/>
      <c r="F8" s="18"/>
      <c r="G8" s="20"/>
      <c r="I8" s="12" t="s">
        <v>21</v>
      </c>
      <c r="J8" s="12">
        <f>(1/J6)*(I6/K6)</f>
        <v>11.010600303124443</v>
      </c>
      <c r="K8" s="12">
        <v>0</v>
      </c>
      <c r="L8" s="12">
        <v>0</v>
      </c>
      <c r="M8" s="12">
        <f>J8*N8</f>
        <v>0</v>
      </c>
      <c r="N8" s="12">
        <v>0</v>
      </c>
    </row>
    <row r="9" spans="1:21" x14ac:dyDescent="0.3">
      <c r="A9" s="2" t="s">
        <v>13</v>
      </c>
      <c r="B9" s="5"/>
      <c r="C9" s="4"/>
      <c r="D9" s="8">
        <v>0.1178628972</v>
      </c>
      <c r="E9" s="15"/>
      <c r="F9" s="18"/>
      <c r="G9" s="20"/>
      <c r="I9" s="12" t="s">
        <v>35</v>
      </c>
      <c r="J9" s="12">
        <f>(0.9/J6)*(I6/K6)</f>
        <v>9.9095402728119986</v>
      </c>
      <c r="K9" s="12">
        <f>J9/L9</f>
        <v>97.806027595490306</v>
      </c>
      <c r="L9" s="12">
        <f>3.33*K6</f>
        <v>0.10131829823204999</v>
      </c>
      <c r="M9" s="12">
        <f>J9*N9</f>
        <v>0</v>
      </c>
      <c r="N9" s="12">
        <v>0</v>
      </c>
    </row>
    <row r="10" spans="1:21" x14ac:dyDescent="0.3">
      <c r="A10" s="2" t="s">
        <v>14</v>
      </c>
      <c r="B10" s="6">
        <f>(B13*B8)+(B14*B9)</f>
        <v>0</v>
      </c>
      <c r="C10" s="4">
        <f>(C13*C8)+(C14*C9)</f>
        <v>0</v>
      </c>
      <c r="D10" s="8">
        <f t="shared" ref="D10:G10" si="0">(D13*D8)+(D14*D9)</f>
        <v>8.7436981815000009E-2</v>
      </c>
      <c r="E10" s="15">
        <f t="shared" si="0"/>
        <v>0</v>
      </c>
      <c r="F10" s="18">
        <f t="shared" si="0"/>
        <v>0</v>
      </c>
      <c r="G10" s="20">
        <f t="shared" si="0"/>
        <v>0</v>
      </c>
      <c r="I10" s="12" t="s">
        <v>36</v>
      </c>
      <c r="J10" s="12">
        <f>(1.2/J6)*(I6/K6)</f>
        <v>13.212720363749332</v>
      </c>
      <c r="K10" s="12">
        <f>J10/L10</f>
        <v>217.12938126198853</v>
      </c>
      <c r="L10" s="12">
        <f>2*K6</f>
        <v>6.085183076999999E-2</v>
      </c>
      <c r="M10" s="12">
        <f>J10*N10</f>
        <v>0.20100455589655178</v>
      </c>
      <c r="N10" s="12">
        <f>0.5*K6</f>
        <v>1.5212957692499997E-2</v>
      </c>
    </row>
    <row r="11" spans="1:21" x14ac:dyDescent="0.3">
      <c r="A11" s="2" t="s">
        <v>15</v>
      </c>
      <c r="B11" s="6">
        <f t="shared" ref="B11:G11" si="1">(B15*B8)+(B16*B9)</f>
        <v>0</v>
      </c>
      <c r="C11" s="4">
        <f t="shared" si="1"/>
        <v>0</v>
      </c>
      <c r="D11" s="8">
        <f t="shared" si="1"/>
        <v>3.0425915384999995E-2</v>
      </c>
      <c r="E11" s="15">
        <f t="shared" si="1"/>
        <v>0</v>
      </c>
      <c r="F11" s="18">
        <f t="shared" si="1"/>
        <v>0</v>
      </c>
      <c r="G11" s="20">
        <f t="shared" si="1"/>
        <v>0</v>
      </c>
    </row>
    <row r="12" spans="1:21" x14ac:dyDescent="0.3">
      <c r="A12" s="29" t="s">
        <v>0</v>
      </c>
      <c r="B12" s="30"/>
      <c r="C12" s="30"/>
      <c r="D12" s="30"/>
      <c r="E12" s="30"/>
      <c r="F12" s="30"/>
      <c r="G12" s="31"/>
    </row>
    <row r="13" spans="1:21" x14ac:dyDescent="0.3">
      <c r="A13" s="2" t="s">
        <v>16</v>
      </c>
      <c r="B13" s="6">
        <v>-0.91</v>
      </c>
      <c r="C13" s="4">
        <v>-5.5</v>
      </c>
      <c r="D13" s="8">
        <v>-1.5</v>
      </c>
      <c r="E13" s="15">
        <v>-1.4</v>
      </c>
      <c r="F13" s="18">
        <v>-0.67</v>
      </c>
      <c r="G13" s="20">
        <v>-1.2450000000000001</v>
      </c>
    </row>
    <row r="14" spans="1:21" x14ac:dyDescent="0.3">
      <c r="A14" s="2" t="s">
        <v>17</v>
      </c>
      <c r="B14" s="6">
        <v>0.91</v>
      </c>
      <c r="C14" s="4">
        <v>5.5</v>
      </c>
      <c r="D14" s="8">
        <v>1.5</v>
      </c>
      <c r="E14" s="15">
        <v>1.4</v>
      </c>
      <c r="F14" s="18">
        <v>0.67</v>
      </c>
      <c r="G14" s="20">
        <v>1.2450000000000001</v>
      </c>
      <c r="I14" s="23"/>
      <c r="J14" s="23"/>
      <c r="K14" s="23"/>
      <c r="L14" s="23"/>
      <c r="M14" s="23"/>
      <c r="N14" s="23"/>
      <c r="P14" s="23"/>
      <c r="Q14" s="23"/>
      <c r="R14" s="23"/>
      <c r="S14" s="23"/>
      <c r="T14" s="23"/>
      <c r="U14" s="23"/>
    </row>
    <row r="15" spans="1:21" x14ac:dyDescent="0.3">
      <c r="A15" s="2" t="s">
        <v>18</v>
      </c>
      <c r="B15" s="6">
        <v>1.262</v>
      </c>
      <c r="C15" s="4">
        <v>2.8</v>
      </c>
      <c r="D15" s="8">
        <v>1.5</v>
      </c>
      <c r="E15" s="15">
        <v>1.54</v>
      </c>
      <c r="F15" s="18">
        <v>1.3</v>
      </c>
      <c r="G15" s="20">
        <v>1.498</v>
      </c>
      <c r="I15" s="21"/>
      <c r="J15" s="21"/>
      <c r="K15" s="22"/>
      <c r="L15" s="23"/>
      <c r="M15" s="23"/>
      <c r="N15" s="23"/>
      <c r="P15" s="21"/>
      <c r="Q15" s="21"/>
      <c r="R15" s="22"/>
      <c r="S15" s="23"/>
      <c r="T15" s="23"/>
      <c r="U15" s="23"/>
    </row>
    <row r="16" spans="1:21" x14ac:dyDescent="0.3">
      <c r="A16" s="2" t="s">
        <v>19</v>
      </c>
      <c r="B16" s="6">
        <v>-0.26200000000000001</v>
      </c>
      <c r="C16" s="4">
        <v>-1.8</v>
      </c>
      <c r="D16" s="8">
        <v>-0.5</v>
      </c>
      <c r="E16" s="15">
        <v>-0.54</v>
      </c>
      <c r="F16" s="18">
        <v>-0.28999999999999998</v>
      </c>
      <c r="G16" s="20">
        <v>-0.498</v>
      </c>
      <c r="I16" s="21"/>
      <c r="J16" s="21"/>
      <c r="K16" s="22"/>
      <c r="L16" s="21"/>
      <c r="M16" s="21"/>
      <c r="N16" s="21"/>
      <c r="P16" s="21"/>
      <c r="Q16" s="21"/>
      <c r="R16" s="22"/>
      <c r="S16" s="21"/>
      <c r="T16" s="21"/>
      <c r="U16" s="21"/>
    </row>
    <row r="20" spans="1:21" x14ac:dyDescent="0.3">
      <c r="A20" s="9" t="s">
        <v>20</v>
      </c>
      <c r="B20" s="9" t="s">
        <v>24</v>
      </c>
      <c r="C20" s="9" t="s">
        <v>25</v>
      </c>
      <c r="D20" s="9" t="s">
        <v>26</v>
      </c>
    </row>
    <row r="21" spans="1:21" x14ac:dyDescent="0.3">
      <c r="A21" s="25" t="s">
        <v>21</v>
      </c>
      <c r="B21" s="28"/>
      <c r="C21" s="28" t="s">
        <v>27</v>
      </c>
      <c r="D21" s="28" t="s">
        <v>27</v>
      </c>
    </row>
    <row r="22" spans="1:21" x14ac:dyDescent="0.3">
      <c r="A22" s="26"/>
      <c r="B22" s="28"/>
      <c r="C22" s="28"/>
      <c r="D22" s="28"/>
    </row>
    <row r="23" spans="1:21" x14ac:dyDescent="0.3">
      <c r="A23" s="25" t="s">
        <v>22</v>
      </c>
      <c r="B23" s="28"/>
      <c r="C23" s="28"/>
      <c r="D23" s="28" t="s">
        <v>27</v>
      </c>
    </row>
    <row r="24" spans="1:21" x14ac:dyDescent="0.3">
      <c r="A24" s="26"/>
      <c r="B24" s="28"/>
      <c r="C24" s="28"/>
      <c r="D24" s="28"/>
      <c r="P24" s="23"/>
      <c r="Q24" s="23"/>
      <c r="R24" s="23"/>
      <c r="S24" s="23"/>
      <c r="T24" s="23"/>
      <c r="U24" s="23"/>
    </row>
    <row r="25" spans="1:21" x14ac:dyDescent="0.3">
      <c r="A25" s="25" t="s">
        <v>23</v>
      </c>
      <c r="B25" s="28"/>
      <c r="C25" s="28"/>
      <c r="D25" s="28"/>
      <c r="P25" s="21"/>
      <c r="Q25" s="21"/>
      <c r="R25" s="22"/>
      <c r="S25" s="23"/>
      <c r="T25" s="23"/>
      <c r="U25" s="23"/>
    </row>
    <row r="26" spans="1:21" x14ac:dyDescent="0.3">
      <c r="A26" s="26"/>
      <c r="B26" s="28"/>
      <c r="C26" s="28"/>
      <c r="D26" s="28"/>
      <c r="P26" s="21"/>
      <c r="Q26" s="21"/>
      <c r="R26" s="22"/>
      <c r="S26" s="21"/>
      <c r="T26" s="21"/>
      <c r="U26" s="21"/>
    </row>
    <row r="32" spans="1:21" ht="36.6" x14ac:dyDescent="0.7">
      <c r="A32" s="24" t="s">
        <v>28</v>
      </c>
      <c r="B32" s="24"/>
    </row>
    <row r="33" spans="1:15" ht="36.6" x14ac:dyDescent="0.7">
      <c r="A33" s="24" t="s">
        <v>29</v>
      </c>
      <c r="B33" s="24"/>
    </row>
    <row r="35" spans="1:15" x14ac:dyDescent="0.3">
      <c r="O35" s="1"/>
    </row>
  </sheetData>
  <mergeCells count="25">
    <mergeCell ref="I14:N14"/>
    <mergeCell ref="L15:N15"/>
    <mergeCell ref="I4:N4"/>
    <mergeCell ref="L5:N5"/>
    <mergeCell ref="B25:B26"/>
    <mergeCell ref="C25:C26"/>
    <mergeCell ref="D25:D26"/>
    <mergeCell ref="A12:G12"/>
    <mergeCell ref="B21:B22"/>
    <mergeCell ref="C21:C22"/>
    <mergeCell ref="D21:D22"/>
    <mergeCell ref="B23:B24"/>
    <mergeCell ref="C23:C24"/>
    <mergeCell ref="D23:D24"/>
    <mergeCell ref="A33:B33"/>
    <mergeCell ref="A32:B32"/>
    <mergeCell ref="A21:A22"/>
    <mergeCell ref="A23:A24"/>
    <mergeCell ref="A25:A26"/>
    <mergeCell ref="S25:U25"/>
    <mergeCell ref="P4:U4"/>
    <mergeCell ref="S5:U5"/>
    <mergeCell ref="P14:U14"/>
    <mergeCell ref="S15:U15"/>
    <mergeCell ref="P24:U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Brahan Palacio</dc:creator>
  <cp:lastModifiedBy>Andres Nieto</cp:lastModifiedBy>
  <dcterms:created xsi:type="dcterms:W3CDTF">2024-09-14T16:20:23Z</dcterms:created>
  <dcterms:modified xsi:type="dcterms:W3CDTF">2026-10-16T06:10:46Z</dcterms:modified>
</cp:coreProperties>
</file>